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74008191-E500-40D8-A666-2DBD52E6529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ransactions" sheetId="1" r:id="rId1"/>
    <sheet name="Formula Practice" sheetId="3" r:id="rId2"/>
    <sheet name="Formula Notes" sheetId="4" r:id="rId3"/>
    <sheet name="Product Lookup" sheetId="2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  <c r="C3" i="3"/>
  <c r="C2" i="3"/>
  <c r="I11" i="1"/>
  <c r="F11" i="1"/>
  <c r="G11" i="1" s="1"/>
  <c r="H11" i="1" s="1"/>
  <c r="I10" i="1"/>
  <c r="F10" i="1"/>
  <c r="G10" i="1" s="1"/>
  <c r="H10" i="1" s="1"/>
  <c r="I9" i="1"/>
  <c r="F9" i="1"/>
  <c r="G9" i="1" s="1"/>
  <c r="H9" i="1" s="1"/>
  <c r="I8" i="1"/>
  <c r="F8" i="1"/>
  <c r="G8" i="1" s="1"/>
  <c r="H8" i="1" s="1"/>
  <c r="I7" i="1"/>
  <c r="F7" i="1"/>
  <c r="G7" i="1" s="1"/>
  <c r="H7" i="1" s="1"/>
  <c r="I6" i="1"/>
  <c r="F6" i="1"/>
  <c r="G6" i="1" s="1"/>
  <c r="H6" i="1" s="1"/>
  <c r="I5" i="1"/>
  <c r="F5" i="1"/>
  <c r="G5" i="1" s="1"/>
  <c r="H5" i="1" s="1"/>
  <c r="I4" i="1"/>
  <c r="F4" i="1"/>
  <c r="G4" i="1" s="1"/>
  <c r="H4" i="1" s="1"/>
  <c r="I3" i="1"/>
  <c r="F3" i="1"/>
  <c r="G3" i="1" s="1"/>
  <c r="H3" i="1" s="1"/>
  <c r="I2" i="1"/>
  <c r="H2" i="1"/>
  <c r="G2" i="1"/>
  <c r="F2" i="1"/>
</calcChain>
</file>

<file path=xl/sharedStrings.xml><?xml version="1.0" encoding="utf-8"?>
<sst xmlns="http://schemas.openxmlformats.org/spreadsheetml/2006/main" count="121" uniqueCount="92">
  <si>
    <t>Order ID</t>
  </si>
  <si>
    <t>Product ID</t>
  </si>
  <si>
    <t>Region</t>
  </si>
  <si>
    <t>Units</t>
  </si>
  <si>
    <t>Salesperson</t>
  </si>
  <si>
    <t>Unit Price</t>
  </si>
  <si>
    <t>Total Sales</t>
  </si>
  <si>
    <t>Performance</t>
  </si>
  <si>
    <t>Product Name</t>
  </si>
  <si>
    <t>ORD001</t>
  </si>
  <si>
    <t>P101</t>
  </si>
  <si>
    <t>East</t>
  </si>
  <si>
    <t>Amit Kumar</t>
  </si>
  <si>
    <t>ORD002</t>
  </si>
  <si>
    <t>P102</t>
  </si>
  <si>
    <t>West</t>
  </si>
  <si>
    <t>Neha Singh</t>
  </si>
  <si>
    <t>ORD003</t>
  </si>
  <si>
    <t>P103</t>
  </si>
  <si>
    <t>North</t>
  </si>
  <si>
    <t>Rahul Das</t>
  </si>
  <si>
    <t>ORD004</t>
  </si>
  <si>
    <t>Priya Roy</t>
  </si>
  <si>
    <t>ORD005</t>
  </si>
  <si>
    <t>P104</t>
  </si>
  <si>
    <t>South</t>
  </si>
  <si>
    <t>ORD006</t>
  </si>
  <si>
    <t>ORD007</t>
  </si>
  <si>
    <t>P105</t>
  </si>
  <si>
    <t>ORD008</t>
  </si>
  <si>
    <t>ORD009</t>
  </si>
  <si>
    <t>ORD010</t>
  </si>
  <si>
    <t>Exercise</t>
  </si>
  <si>
    <t>Formula</t>
  </si>
  <si>
    <t>Result</t>
  </si>
  <si>
    <t>Total sales for East region</t>
  </si>
  <si>
    <t xml:space="preserve">SUMIFS(Transactions!G2:G11,Transactions!C2:C11,"East") </t>
  </si>
  <si>
    <t>Count East region orders</t>
  </si>
  <si>
    <t>COUNTIFS(Transactions!C2:C11,"East")</t>
  </si>
  <si>
    <t>Total sales by Amit Kumar</t>
  </si>
  <si>
    <t>SUMIFS(Transactions!G2:G11,Transactions!E2:E11,"Amit Kumar")</t>
  </si>
  <si>
    <t>Count Electronics product orders</t>
  </si>
  <si>
    <t>COUNTIFS(Transactions!B2:B11,"P101")+COUNTIFS(Transactions!B2:B11,"P103")+COUNTIFS(Transactions!B2:B11,"P105")</t>
  </si>
  <si>
    <t>First 3 characters of order ID</t>
  </si>
  <si>
    <t>LEFT(Transactions!A2,3)</t>
  </si>
  <si>
    <t>Last 3 characters of order ID</t>
  </si>
  <si>
    <t>RIGHT(Transactions!A2,3)</t>
  </si>
  <si>
    <t>Trim extra spaces</t>
  </si>
  <si>
    <t>TRIM(" Amit Kumar ")</t>
  </si>
  <si>
    <t>Function</t>
  </si>
  <si>
    <t>Purpose</t>
  </si>
  <si>
    <t>Example Use</t>
  </si>
  <si>
    <t>When to use it</t>
  </si>
  <si>
    <t>VLOOKUP</t>
  </si>
  <si>
    <t>Looks for a value in the first column of a table and returns a value from another column.</t>
  </si>
  <si>
    <t>Retrieve unit price by Product ID</t>
  </si>
  <si>
    <t>Use when you need to retrieve a product price by Product ID.</t>
  </si>
  <si>
    <t>XLOOKUP</t>
  </si>
  <si>
    <t>Finds a matching value and returns a corresponding value from another range.</t>
  </si>
  <si>
    <t>Retrieve product name by Product ID</t>
  </si>
  <si>
    <t>Use to retrieve the product name by Product ID.</t>
  </si>
  <si>
    <t>IF</t>
  </si>
  <si>
    <t>Returns one value if a condition is true and another if it is false.</t>
  </si>
  <si>
    <t>Classify sales as High or Low</t>
  </si>
  <si>
    <t>Use to classify sales as High or Low based on a threshold.</t>
  </si>
  <si>
    <t>SUMIFS</t>
  </si>
  <si>
    <t>Adds numbers that meet one or more criteria.</t>
  </si>
  <si>
    <t>Calculate sales for the East region</t>
  </si>
  <si>
    <t>Use to calculate total sales for a region or salesperson.</t>
  </si>
  <si>
    <t>COUNTIFS</t>
  </si>
  <si>
    <t>Counts rows/cells that meet one or more criteria.</t>
  </si>
  <si>
    <t>Use to count transactions that match selected criteria.</t>
  </si>
  <si>
    <t>LEFT</t>
  </si>
  <si>
    <t>Extracts characters from the beginning of a text string.</t>
  </si>
  <si>
    <t>Extract ORD from ORD001</t>
  </si>
  <si>
    <t>Use to extract a prefix such as ORD.</t>
  </si>
  <si>
    <t>RIGHT</t>
  </si>
  <si>
    <t>Extracts characters from the end of a text string.</t>
  </si>
  <si>
    <t>Extract 001 from ORD001</t>
  </si>
  <si>
    <t>Use to extract a suffix such as 001.</t>
  </si>
  <si>
    <t>TRIM</t>
  </si>
  <si>
    <t>Removes extra spaces from text, leaving single spaces between words.</t>
  </si>
  <si>
    <t>Clean salesperson names</t>
  </si>
  <si>
    <t>Use to clean inconsistent text entries.</t>
  </si>
  <si>
    <t>Category</t>
  </si>
  <si>
    <t>Laptop</t>
  </si>
  <si>
    <t>Electronics</t>
  </si>
  <si>
    <t>Keyboard</t>
  </si>
  <si>
    <t>Accessories</t>
  </si>
  <si>
    <t>Monitor</t>
  </si>
  <si>
    <t>Mouse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</si>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</sst>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%20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Looku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workbookViewId="0">
      <selection activeCell="B1" sqref="B1"/>
    </sheetView>
  </sheetViews>
  <sheetFormatPr defaultRowHeight="15"/>
  <cols>
    <col min="1" max="1" width="15.140625" customWidth="1"/>
    <col min="2" max="2" width="16.85546875" customWidth="1"/>
    <col min="3" max="3" width="15.42578125" customWidth="1"/>
    <col min="4" max="4" width="14.85546875" customWidth="1"/>
    <col min="5" max="5" width="18.42578125" customWidth="1"/>
    <col min="6" max="6" width="16" customWidth="1"/>
    <col min="7" max="7" width="17.5703125" customWidth="1"/>
    <col min="8" max="8" width="16.5703125" customWidth="1"/>
    <col min="9" max="9" width="17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3.25" customHeight="1">
      <c r="A2" s="3" t="s">
        <v>9</v>
      </c>
      <c r="B2" s="3" t="s">
        <v>10</v>
      </c>
      <c r="C2" s="3" t="s">
        <v>11</v>
      </c>
      <c r="D2" s="3">
        <v>5</v>
      </c>
      <c r="E2" s="3" t="s">
        <v>12</v>
      </c>
      <c r="F2" s="3">
        <f>VLOOKUP(B2,'Product Lookup'!$A$2:$D$6,4,FALSE)</f>
        <v>50000</v>
      </c>
      <c r="G2" s="3">
        <f>D2*F2</f>
        <v>250000</v>
      </c>
      <c r="H2" s="3" t="str">
        <f>IF(G2&gt;=20000,"High","Low")</f>
        <v>High</v>
      </c>
      <c r="I2" s="3" t="str">
        <f>_xlfn.XLOOKUP(B2,'Product Lookup'!$A$2:$A$6,'Product Lookup'!$B$2:$B$6,"Not Found")</f>
        <v>Laptop</v>
      </c>
    </row>
    <row r="3" spans="1:9" ht="21.75" customHeight="1">
      <c r="A3" s="3" t="s">
        <v>13</v>
      </c>
      <c r="B3" s="3" t="s">
        <v>14</v>
      </c>
      <c r="C3" s="3" t="s">
        <v>15</v>
      </c>
      <c r="D3" s="3">
        <v>3</v>
      </c>
      <c r="E3" s="3" t="s">
        <v>16</v>
      </c>
      <c r="F3" s="3">
        <f>VLOOKUP(B3,'Product Lookup'!$A$2:$D$6,4,FALSE)</f>
        <v>1500</v>
      </c>
      <c r="G3" s="3">
        <f t="shared" ref="G3:G11" si="0">D3*F3</f>
        <v>4500</v>
      </c>
      <c r="H3" s="3" t="str">
        <f t="shared" ref="H3:H11" si="1">IF(G3&gt;=20000,"High","Low")</f>
        <v>Low</v>
      </c>
      <c r="I3" s="3" t="str">
        <f>_xlfn.XLOOKUP(B3,'Product Lookup'!$A$2:$A$6,'Product Lookup'!$B$2:$B$6,"Not Found")</f>
        <v>Keyboard</v>
      </c>
    </row>
    <row r="4" spans="1:9" ht="21.75" customHeight="1">
      <c r="A4" s="3" t="s">
        <v>17</v>
      </c>
      <c r="B4" s="3" t="s">
        <v>18</v>
      </c>
      <c r="C4" s="3" t="s">
        <v>19</v>
      </c>
      <c r="D4" s="3">
        <v>8</v>
      </c>
      <c r="E4" s="3" t="s">
        <v>20</v>
      </c>
      <c r="F4" s="3">
        <f>VLOOKUP(B4,'Product Lookup'!$A$2:$D$6,4,FALSE)</f>
        <v>12000</v>
      </c>
      <c r="G4" s="3">
        <f t="shared" si="0"/>
        <v>96000</v>
      </c>
      <c r="H4" s="3" t="str">
        <f t="shared" si="1"/>
        <v>High</v>
      </c>
      <c r="I4" s="3" t="str">
        <f>_xlfn.XLOOKUP(B4,'Product Lookup'!$A$2:$A$6,'Product Lookup'!$B$2:$B$6,"Not Found")</f>
        <v>Monitor</v>
      </c>
    </row>
    <row r="5" spans="1:9" ht="19.5" customHeight="1">
      <c r="A5" s="3" t="s">
        <v>21</v>
      </c>
      <c r="B5" s="3" t="s">
        <v>10</v>
      </c>
      <c r="C5" s="3" t="s">
        <v>15</v>
      </c>
      <c r="D5" s="3">
        <v>4</v>
      </c>
      <c r="E5" s="3" t="s">
        <v>22</v>
      </c>
      <c r="F5" s="3">
        <f>VLOOKUP(B5,'Product Lookup'!$A$2:$D$6,4,FALSE)</f>
        <v>50000</v>
      </c>
      <c r="G5" s="3">
        <f t="shared" si="0"/>
        <v>200000</v>
      </c>
      <c r="H5" s="3" t="str">
        <f t="shared" si="1"/>
        <v>High</v>
      </c>
      <c r="I5" s="3" t="str">
        <f>_xlfn.XLOOKUP(B5,'Product Lookup'!$A$2:$A$6,'Product Lookup'!$B$2:$B$6,"Not Found")</f>
        <v>Laptop</v>
      </c>
    </row>
    <row r="6" spans="1:9" ht="21.75" customHeight="1">
      <c r="A6" s="3" t="s">
        <v>23</v>
      </c>
      <c r="B6" s="3" t="s">
        <v>24</v>
      </c>
      <c r="C6" s="3" t="s">
        <v>25</v>
      </c>
      <c r="D6" s="3">
        <v>6</v>
      </c>
      <c r="E6" s="3" t="s">
        <v>12</v>
      </c>
      <c r="F6" s="3">
        <f>VLOOKUP(B6,'Product Lookup'!$A$2:$D$6,4,FALSE)</f>
        <v>800</v>
      </c>
      <c r="G6" s="3">
        <f t="shared" si="0"/>
        <v>4800</v>
      </c>
      <c r="H6" s="3" t="str">
        <f t="shared" si="1"/>
        <v>Low</v>
      </c>
      <c r="I6" s="3" t="str">
        <f>_xlfn.XLOOKUP(B6,'Product Lookup'!$A$2:$A$6,'Product Lookup'!$B$2:$B$6,"Not Found")</f>
        <v>Mouse</v>
      </c>
    </row>
    <row r="7" spans="1:9" ht="22.5" customHeight="1">
      <c r="A7" s="3" t="s">
        <v>26</v>
      </c>
      <c r="B7" s="3" t="s">
        <v>14</v>
      </c>
      <c r="C7" s="3" t="s">
        <v>11</v>
      </c>
      <c r="D7" s="3">
        <v>10</v>
      </c>
      <c r="E7" s="3" t="s">
        <v>16</v>
      </c>
      <c r="F7" s="3">
        <f>VLOOKUP(B7,'Product Lookup'!$A$2:$D$6,4,FALSE)</f>
        <v>1500</v>
      </c>
      <c r="G7" s="3">
        <f t="shared" si="0"/>
        <v>15000</v>
      </c>
      <c r="H7" s="3" t="str">
        <f t="shared" si="1"/>
        <v>Low</v>
      </c>
      <c r="I7" s="3" t="str">
        <f>_xlfn.XLOOKUP(B7,'Product Lookup'!$A$2:$A$6,'Product Lookup'!$B$2:$B$6,"Not Found")</f>
        <v>Keyboard</v>
      </c>
    </row>
    <row r="8" spans="1:9" ht="23.25" customHeight="1">
      <c r="A8" s="3" t="s">
        <v>27</v>
      </c>
      <c r="B8" s="3" t="s">
        <v>28</v>
      </c>
      <c r="C8" s="3" t="s">
        <v>19</v>
      </c>
      <c r="D8" s="3">
        <v>2</v>
      </c>
      <c r="E8" s="3" t="s">
        <v>20</v>
      </c>
      <c r="F8" s="3">
        <f>VLOOKUP(B8,'Product Lookup'!$A$2:$D$6,4,FALSE)</f>
        <v>9000</v>
      </c>
      <c r="G8" s="3">
        <f t="shared" si="0"/>
        <v>18000</v>
      </c>
      <c r="H8" s="3" t="str">
        <f t="shared" si="1"/>
        <v>Low</v>
      </c>
      <c r="I8" s="3" t="str">
        <f>_xlfn.XLOOKUP(B8,'Product Lookup'!$A$2:$A$6,'Product Lookup'!$B$2:$B$6,"Not Found")</f>
        <v>Printer</v>
      </c>
    </row>
    <row r="9" spans="1:9" ht="22.5" customHeight="1">
      <c r="A9" s="3" t="s">
        <v>29</v>
      </c>
      <c r="B9" s="3" t="s">
        <v>18</v>
      </c>
      <c r="C9" s="3" t="s">
        <v>25</v>
      </c>
      <c r="D9" s="3">
        <v>5</v>
      </c>
      <c r="E9" s="3" t="s">
        <v>22</v>
      </c>
      <c r="F9" s="3">
        <f>VLOOKUP(B9,'Product Lookup'!$A$2:$D$6,4,FALSE)</f>
        <v>12000</v>
      </c>
      <c r="G9" s="3">
        <f t="shared" si="0"/>
        <v>60000</v>
      </c>
      <c r="H9" s="3" t="str">
        <f t="shared" si="1"/>
        <v>High</v>
      </c>
      <c r="I9" s="3" t="str">
        <f>_xlfn.XLOOKUP(B9,'Product Lookup'!$A$2:$A$6,'Product Lookup'!$B$2:$B$6,"Not Found")</f>
        <v>Monitor</v>
      </c>
    </row>
    <row r="10" spans="1:9" ht="21.75" customHeight="1">
      <c r="A10" s="3" t="s">
        <v>30</v>
      </c>
      <c r="B10" s="3" t="s">
        <v>24</v>
      </c>
      <c r="C10" s="3" t="s">
        <v>11</v>
      </c>
      <c r="D10" s="3">
        <v>7</v>
      </c>
      <c r="E10" s="3" t="s">
        <v>12</v>
      </c>
      <c r="F10" s="3">
        <f>VLOOKUP(B10,'Product Lookup'!$A$2:$D$6,4,FALSE)</f>
        <v>800</v>
      </c>
      <c r="G10" s="3">
        <f t="shared" si="0"/>
        <v>5600</v>
      </c>
      <c r="H10" s="3" t="str">
        <f t="shared" si="1"/>
        <v>Low</v>
      </c>
      <c r="I10" s="3" t="str">
        <f>_xlfn.XLOOKUP(B10,'Product Lookup'!$A$2:$A$6,'Product Lookup'!$B$2:$B$6,"Not Found")</f>
        <v>Mouse</v>
      </c>
    </row>
    <row r="11" spans="1:9" ht="21" customHeight="1">
      <c r="A11" s="3" t="s">
        <v>31</v>
      </c>
      <c r="B11" s="3" t="s">
        <v>28</v>
      </c>
      <c r="C11" s="3" t="s">
        <v>15</v>
      </c>
      <c r="D11" s="3">
        <v>9</v>
      </c>
      <c r="E11" s="3" t="s">
        <v>16</v>
      </c>
      <c r="F11" s="3">
        <f>VLOOKUP(B11,'Product Lookup'!$A$2:$D$6,4,FALSE)</f>
        <v>9000</v>
      </c>
      <c r="G11" s="3">
        <f t="shared" si="0"/>
        <v>81000</v>
      </c>
      <c r="H11" s="3" t="str">
        <f t="shared" si="1"/>
        <v>High</v>
      </c>
      <c r="I11" s="3" t="str">
        <f>_xlfn.XLOOKUP(B11,'Product Lookup'!$A$2:$A$6,'Product Lookup'!$B$2:$B$6,"Not Found")</f>
        <v>Printer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A4EF-F39C-43DC-8474-9E96FC924BC1}">
  <dimension ref="A1:C8"/>
  <sheetViews>
    <sheetView showGridLines="0" tabSelected="1" workbookViewId="0">
      <selection activeCell="A2" sqref="A2:C8"/>
    </sheetView>
  </sheetViews>
  <sheetFormatPr defaultRowHeight="15"/>
  <cols>
    <col min="1" max="1" width="31.5703125" customWidth="1"/>
    <col min="2" max="2" width="103.85546875" customWidth="1"/>
    <col min="3" max="3" width="24.85546875" customWidth="1"/>
  </cols>
  <sheetData>
    <row r="1" spans="1:3" ht="29.25" customHeight="1">
      <c r="A1" s="5" t="s">
        <v>32</v>
      </c>
      <c r="B1" s="5" t="s">
        <v>33</v>
      </c>
      <c r="C1" s="5" t="s">
        <v>34</v>
      </c>
    </row>
    <row r="2" spans="1:3" ht="27.75" customHeight="1">
      <c r="A2" s="10" t="s">
        <v>35</v>
      </c>
      <c r="B2" s="11" t="s">
        <v>36</v>
      </c>
      <c r="C2" s="11">
        <f>SUMIFS(Transactions!G2:G11,Transactions!C2:C11,"East")</f>
        <v>270600</v>
      </c>
    </row>
    <row r="3" spans="1:3" ht="26.25" customHeight="1">
      <c r="A3" s="10" t="s">
        <v>37</v>
      </c>
      <c r="B3" s="11" t="s">
        <v>38</v>
      </c>
      <c r="C3" s="11">
        <f>COUNTIFS(Transactions!C2:C11,"East")</f>
        <v>3</v>
      </c>
    </row>
    <row r="4" spans="1:3" ht="31.5" customHeight="1">
      <c r="A4" s="10" t="s">
        <v>39</v>
      </c>
      <c r="B4" s="11" t="s">
        <v>40</v>
      </c>
      <c r="C4" s="11">
        <f>SUMIFS(Transactions!G2:G11,Transactions!E2:E11,"Amit Kumar")</f>
        <v>260400</v>
      </c>
    </row>
    <row r="5" spans="1:3" ht="32.25" customHeight="1">
      <c r="A5" s="10" t="s">
        <v>41</v>
      </c>
      <c r="B5" s="11" t="s">
        <v>42</v>
      </c>
      <c r="C5" s="11">
        <f>COUNTIFS(Transactions!B2:B11,"P101")+COUNTIFS(Transactions!B2:B11,"P103")+COUNTIFS(Transactions!B2:B11,"P105")</f>
        <v>6</v>
      </c>
    </row>
    <row r="6" spans="1:3" ht="34.5" customHeight="1">
      <c r="A6" s="10" t="s">
        <v>43</v>
      </c>
      <c r="B6" s="11" t="s">
        <v>44</v>
      </c>
      <c r="C6" s="12" t="str">
        <f>LEFT(Transactions!A2,3)</f>
        <v>ORD</v>
      </c>
    </row>
    <row r="7" spans="1:3" ht="26.25" customHeight="1">
      <c r="A7" s="10" t="s">
        <v>45</v>
      </c>
      <c r="B7" s="11" t="s">
        <v>46</v>
      </c>
      <c r="C7" s="12" t="str">
        <f>RIGHT(Transactions!A2,3)</f>
        <v>001</v>
      </c>
    </row>
    <row r="8" spans="1:3" ht="27.75" customHeight="1">
      <c r="A8" s="10" t="s">
        <v>47</v>
      </c>
      <c r="B8" s="11" t="s">
        <v>48</v>
      </c>
      <c r="C8" s="12" t="str">
        <f>TRIM("  Amit Kumar  ")</f>
        <v>Amit Kumar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0689-2B33-4C07-AF37-0743A91FFDF4}">
  <dimension ref="A1:D9"/>
  <sheetViews>
    <sheetView showGridLines="0" workbookViewId="0">
      <selection activeCell="A2" sqref="A2"/>
    </sheetView>
  </sheetViews>
  <sheetFormatPr defaultRowHeight="15"/>
  <cols>
    <col min="1" max="1" width="15.5703125" customWidth="1"/>
    <col min="2" max="2" width="76.140625" customWidth="1"/>
    <col min="3" max="3" width="34.5703125" customWidth="1"/>
    <col min="4" max="4" width="61.42578125" customWidth="1"/>
    <col min="10" max="10" width="21.140625" customWidth="1"/>
    <col min="11" max="11" width="37.42578125" customWidth="1"/>
    <col min="12" max="12" width="34.140625" customWidth="1"/>
  </cols>
  <sheetData>
    <row r="1" spans="1:4" ht="24.75" customHeight="1">
      <c r="A1" s="5" t="s">
        <v>49</v>
      </c>
      <c r="B1" s="5" t="s">
        <v>50</v>
      </c>
      <c r="C1" s="5" t="s">
        <v>51</v>
      </c>
      <c r="D1" s="5" t="s">
        <v>52</v>
      </c>
    </row>
    <row r="2" spans="1:4" ht="39.75" customHeight="1">
      <c r="A2" s="6" t="s">
        <v>53</v>
      </c>
      <c r="B2" s="7" t="s">
        <v>54</v>
      </c>
      <c r="C2" s="9" t="s">
        <v>55</v>
      </c>
      <c r="D2" s="7" t="s">
        <v>56</v>
      </c>
    </row>
    <row r="3" spans="1:4" ht="39.75" customHeight="1">
      <c r="A3" s="6" t="s">
        <v>57</v>
      </c>
      <c r="B3" s="7" t="s">
        <v>58</v>
      </c>
      <c r="C3" s="9" t="s">
        <v>59</v>
      </c>
      <c r="D3" s="7" t="s">
        <v>60</v>
      </c>
    </row>
    <row r="4" spans="1:4" ht="39.75" customHeight="1">
      <c r="A4" s="6" t="s">
        <v>61</v>
      </c>
      <c r="B4" s="7" t="s">
        <v>62</v>
      </c>
      <c r="C4" s="8" t="s">
        <v>63</v>
      </c>
      <c r="D4" s="7" t="s">
        <v>64</v>
      </c>
    </row>
    <row r="5" spans="1:4" ht="42.75" customHeight="1">
      <c r="A5" s="6" t="s">
        <v>65</v>
      </c>
      <c r="B5" s="7" t="s">
        <v>66</v>
      </c>
      <c r="C5" s="8" t="s">
        <v>67</v>
      </c>
      <c r="D5" s="7" t="s">
        <v>68</v>
      </c>
    </row>
    <row r="6" spans="1:4" ht="42.75" customHeight="1">
      <c r="A6" s="6" t="s">
        <v>69</v>
      </c>
      <c r="B6" s="7" t="s">
        <v>70</v>
      </c>
      <c r="C6" s="8" t="s">
        <v>37</v>
      </c>
      <c r="D6" s="7" t="s">
        <v>71</v>
      </c>
    </row>
    <row r="7" spans="1:4" ht="39" customHeight="1">
      <c r="A7" s="6" t="s">
        <v>72</v>
      </c>
      <c r="B7" s="7" t="s">
        <v>73</v>
      </c>
      <c r="C7" s="8" t="s">
        <v>74</v>
      </c>
      <c r="D7" s="7" t="s">
        <v>75</v>
      </c>
    </row>
    <row r="8" spans="1:4" ht="40.5" customHeight="1">
      <c r="A8" s="6" t="s">
        <v>76</v>
      </c>
      <c r="B8" s="7" t="s">
        <v>77</v>
      </c>
      <c r="C8" s="8" t="s">
        <v>78</v>
      </c>
      <c r="D8" s="7" t="s">
        <v>79</v>
      </c>
    </row>
    <row r="9" spans="1:4" ht="35.25" customHeight="1">
      <c r="A9" s="6" t="s">
        <v>80</v>
      </c>
      <c r="B9" s="7" t="s">
        <v>81</v>
      </c>
      <c r="C9" s="8" t="s">
        <v>82</v>
      </c>
      <c r="D9" s="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FBD2-4509-4D27-8558-6A9BB8CBA562}">
  <dimension ref="A1:D6"/>
  <sheetViews>
    <sheetView showGridLines="0" workbookViewId="0">
      <selection activeCell="I2" sqref="I2"/>
    </sheetView>
  </sheetViews>
  <sheetFormatPr defaultRowHeight="15"/>
  <cols>
    <col min="1" max="1" width="17.5703125" customWidth="1"/>
    <col min="2" max="2" width="19.42578125" customWidth="1"/>
    <col min="3" max="3" width="18.5703125" customWidth="1"/>
    <col min="4" max="4" width="17.5703125" customWidth="1"/>
  </cols>
  <sheetData>
    <row r="1" spans="1:4" ht="15.75">
      <c r="A1" s="4" t="s">
        <v>1</v>
      </c>
      <c r="B1" s="4" t="s">
        <v>8</v>
      </c>
      <c r="C1" s="4" t="s">
        <v>84</v>
      </c>
      <c r="D1" s="4" t="s">
        <v>5</v>
      </c>
    </row>
    <row r="2" spans="1:4" ht="24.75" customHeight="1">
      <c r="A2" s="3" t="s">
        <v>10</v>
      </c>
      <c r="B2" s="3" t="s">
        <v>85</v>
      </c>
      <c r="C2" s="3" t="s">
        <v>86</v>
      </c>
      <c r="D2" s="3">
        <v>50000</v>
      </c>
    </row>
    <row r="3" spans="1:4" ht="24" customHeight="1">
      <c r="A3" s="3" t="s">
        <v>14</v>
      </c>
      <c r="B3" s="3" t="s">
        <v>87</v>
      </c>
      <c r="C3" s="3" t="s">
        <v>88</v>
      </c>
      <c r="D3" s="3">
        <v>1500</v>
      </c>
    </row>
    <row r="4" spans="1:4" ht="22.5" customHeight="1">
      <c r="A4" s="3" t="s">
        <v>18</v>
      </c>
      <c r="B4" s="3" t="s">
        <v>89</v>
      </c>
      <c r="C4" s="3" t="s">
        <v>86</v>
      </c>
      <c r="D4" s="3">
        <v>12000</v>
      </c>
    </row>
    <row r="5" spans="1:4" ht="23.25" customHeight="1">
      <c r="A5" s="3" t="s">
        <v>24</v>
      </c>
      <c r="B5" s="3" t="s">
        <v>90</v>
      </c>
      <c r="C5" s="3" t="s">
        <v>88</v>
      </c>
      <c r="D5" s="3">
        <v>800</v>
      </c>
    </row>
    <row r="6" spans="1:4" ht="24" customHeight="1">
      <c r="A6" s="3" t="s">
        <v>28</v>
      </c>
      <c r="B6" s="3" t="s">
        <v>91</v>
      </c>
      <c r="C6" s="3" t="s">
        <v>86</v>
      </c>
      <c r="D6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2026-10-25T08:42:54Z</dcterms:created>
  <dcterms:modified xsi:type="dcterms:W3CDTF">2026-10-25T10:00:59Z</dcterms:modified>
  <cp:category/>
  <cp:contentStatus/>
</cp:coreProperties>
</file>